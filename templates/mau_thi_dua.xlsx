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XV2504\AppData\Roaming\Claude\scratch-workspaces\dad96b1b-ba62-4286-94bf-d7bcacf9ea42\edcc0e3f-4cbe-4a56-ad5a-0df56f10fe41\scratch-2026-10-29-175100\frontend\templates\"/>
    </mc:Choice>
  </mc:AlternateContent>
  <xr:revisionPtr revIDLastSave="0" documentId="8_{94060C2A-75E5-48B2-8BFC-71CF8DC957B3}" xr6:coauthVersionLast="47" xr6:coauthVersionMax="47" xr10:uidLastSave="{00000000-0000-0000-0000-000000000000}"/>
  <bookViews>
    <workbookView xWindow="-98" yWindow="-98" windowWidth="21795" windowHeight="13245" xr2:uid="{00000000-000D-0000-FFFF-FFFF00000000}"/>
  </bookViews>
  <sheets>
    <sheet name="T7" sheetId="1" r:id="rId1"/>
    <sheet name="Chi tiết ản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9" i="1" l="1"/>
  <c r="P29" i="1" s="1"/>
  <c r="O28" i="1"/>
  <c r="P28" i="1" s="1"/>
  <c r="O27" i="1"/>
  <c r="P27" i="1" s="1"/>
  <c r="O26" i="1"/>
  <c r="P26" i="1" s="1"/>
  <c r="O25" i="1"/>
  <c r="P25" i="1" s="1"/>
  <c r="O24" i="1"/>
  <c r="P24" i="1" s="1"/>
  <c r="O23" i="1"/>
  <c r="P23" i="1" s="1"/>
  <c r="O22" i="1"/>
  <c r="P22" i="1" s="1"/>
  <c r="O21" i="1"/>
  <c r="P21" i="1" s="1"/>
  <c r="O20" i="1"/>
  <c r="P20" i="1" s="1"/>
  <c r="O19" i="1"/>
  <c r="P19" i="1" s="1"/>
  <c r="O18" i="1"/>
  <c r="P18" i="1" s="1"/>
  <c r="O17" i="1"/>
  <c r="P17" i="1" s="1"/>
  <c r="O16" i="1"/>
  <c r="P16" i="1" s="1"/>
  <c r="O15" i="1"/>
  <c r="P15" i="1" s="1"/>
  <c r="O14" i="1"/>
  <c r="P14" i="1" s="1"/>
  <c r="O13" i="1"/>
  <c r="P13" i="1" s="1"/>
  <c r="O12" i="1"/>
  <c r="P12" i="1" s="1"/>
  <c r="O11" i="1"/>
  <c r="P11" i="1" s="1"/>
  <c r="O10" i="1"/>
  <c r="P10" i="1" s="1"/>
  <c r="O9" i="1"/>
  <c r="P9" i="1" s="1"/>
  <c r="O8" i="1"/>
  <c r="P8" i="1" s="1"/>
  <c r="O7" i="1"/>
  <c r="P7" i="1" s="1"/>
  <c r="Q8" i="1" l="1"/>
  <c r="Q24" i="1"/>
  <c r="Q25" i="1"/>
  <c r="Q26" i="1"/>
  <c r="Q7" i="1"/>
  <c r="Q16" i="1"/>
  <c r="Q10" i="1"/>
  <c r="Q19" i="1"/>
  <c r="Q27" i="1"/>
  <c r="Q22" i="1"/>
  <c r="Q23" i="1"/>
  <c r="Q17" i="1"/>
  <c r="Q20" i="1"/>
  <c r="Q28" i="1"/>
  <c r="Q14" i="1"/>
  <c r="Q15" i="1"/>
  <c r="Q9" i="1"/>
  <c r="Q18" i="1"/>
  <c r="Q11" i="1"/>
  <c r="Q12" i="1"/>
  <c r="Q13" i="1"/>
  <c r="Q21" i="1"/>
  <c r="Q29" i="1"/>
  <c r="P34" i="1" l="1"/>
  <c r="Q34" i="1" s="1"/>
  <c r="P33" i="1"/>
  <c r="Q33" i="1" s="1"/>
  <c r="P32" i="1"/>
  <c r="Q32" i="1" s="1"/>
  <c r="P31" i="1"/>
  <c r="Q31" i="1" s="1"/>
</calcChain>
</file>

<file path=xl/sharedStrings.xml><?xml version="1.0" encoding="utf-8"?>
<sst xmlns="http://schemas.openxmlformats.org/spreadsheetml/2006/main" count="56" uniqueCount="45">
  <si>
    <t>LIÊN ĐỘI TRƯỜNG THCS GIAO TIẾN</t>
  </si>
  <si>
    <t>Stt</t>
  </si>
  <si>
    <t>Lớp</t>
  </si>
  <si>
    <t>Thứ 6</t>
  </si>
  <si>
    <t>Thứ 2</t>
  </si>
  <si>
    <t>Thứ 3</t>
  </si>
  <si>
    <t>Thứ 4</t>
  </si>
  <si>
    <t>Thứ 5</t>
  </si>
  <si>
    <t>Điểm
 tuần</t>
  </si>
  <si>
    <t xml:space="preserve">Tổng
</t>
  </si>
  <si>
    <t>Xếp loại
A&gt;=100
95=&lt;B&lt;100
80=&lt;C&lt;95
D&lt;80</t>
  </si>
  <si>
    <t>Cộng</t>
  </si>
  <si>
    <t>Trừ</t>
  </si>
  <si>
    <t>9A1</t>
  </si>
  <si>
    <t>8A1</t>
  </si>
  <si>
    <t>7A1</t>
  </si>
  <si>
    <t>6A1</t>
  </si>
  <si>
    <t>9A2</t>
  </si>
  <si>
    <t>9A3</t>
  </si>
  <si>
    <t>9A4</t>
  </si>
  <si>
    <t>9A5</t>
  </si>
  <si>
    <t>9A6</t>
  </si>
  <si>
    <t>8A2</t>
  </si>
  <si>
    <t>8A3</t>
  </si>
  <si>
    <t>8A4</t>
  </si>
  <si>
    <t>8A5</t>
  </si>
  <si>
    <t>7A2</t>
  </si>
  <si>
    <t>7A3</t>
  </si>
  <si>
    <t>7A4</t>
  </si>
  <si>
    <t>7A5</t>
  </si>
  <si>
    <t>7A6</t>
  </si>
  <si>
    <t>6A2</t>
  </si>
  <si>
    <t>6A3</t>
  </si>
  <si>
    <t>6A4</t>
  </si>
  <si>
    <t>6A5</t>
  </si>
  <si>
    <t>6A6</t>
  </si>
  <si>
    <t>A</t>
  </si>
  <si>
    <t>B</t>
  </si>
  <si>
    <t>C</t>
  </si>
  <si>
    <t>D</t>
  </si>
  <si>
    <t>Ngày</t>
  </si>
  <si>
    <t>Thứ</t>
  </si>
  <si>
    <t>File ảnh</t>
  </si>
  <si>
    <t>Điểm</t>
  </si>
  <si>
    <t>BẢNG THEO DÕI THI ĐUA TUẦN … -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</si>
</sst>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0000000"/>
  </numFmts>
  <fonts count="13" x14ac:knownFonts="1">
    <font>
      <sz val="11"/>
      <color theme="1"/>
      <name val="Arial"/>
      <family val="2"/>
      <charset val="163"/>
      <scheme val="minor"/>
    </font>
    <font>
      <b/>
      <sz val="14"/>
      <color theme="1"/>
      <name val="Times New Roman"/>
      <family val="1"/>
      <scheme val="major"/>
    </font>
    <font>
      <b/>
      <sz val="14"/>
      <color rgb="FFFF0000"/>
      <name val="Times New Roman"/>
      <family val="1"/>
      <scheme val="major"/>
    </font>
    <font>
      <b/>
      <sz val="14"/>
      <color theme="8"/>
      <name val="Times New Roman"/>
      <family val="1"/>
      <scheme val="major"/>
    </font>
    <font>
      <b/>
      <sz val="14"/>
      <color rgb="FF0070C0"/>
      <name val="Times New Roman"/>
      <family val="1"/>
      <scheme val="major"/>
    </font>
    <font>
      <b/>
      <sz val="12"/>
      <color rgb="FF0070C0"/>
      <name val="Times New Roman"/>
      <family val="1"/>
      <scheme val="major"/>
    </font>
    <font>
      <b/>
      <sz val="10"/>
      <color rgb="FF0070C0"/>
      <name val="Times New Roman"/>
      <family val="1"/>
      <scheme val="major"/>
    </font>
    <font>
      <b/>
      <sz val="12"/>
      <color rgb="FFFF0000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b/>
      <sz val="14"/>
      <color theme="6"/>
      <name val="Times New Roman"/>
      <family val="1"/>
      <scheme val="major"/>
    </font>
    <font>
      <b/>
      <sz val="12"/>
      <color theme="6"/>
      <name val="Times New Roman"/>
      <family val="1"/>
      <scheme val="major"/>
    </font>
    <font>
      <sz val="11"/>
      <color theme="1"/>
      <name val="Arial"/>
      <family val="2"/>
      <charset val="163"/>
      <scheme val="minor"/>
    </font>
    <font>
      <b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1" fillId="0" borderId="0"/>
  </cellStyleXfs>
  <cellXfs count="98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2" borderId="5" xfId="0" applyFont="1" applyFill="1" applyBorder="1" applyAlignment="1">
      <alignment horizontal="center" vertical="center"/>
    </xf>
    <xf numFmtId="0" fontId="9" fillId="0" borderId="0" xfId="0" applyFont="1"/>
    <xf numFmtId="0" fontId="1" fillId="0" borderId="0" xfId="0" applyFont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1" fillId="3" borderId="7" xfId="0" applyFont="1" applyFill="1" applyBorder="1"/>
    <xf numFmtId="0" fontId="2" fillId="3" borderId="7" xfId="0" applyFont="1" applyFill="1" applyBorder="1"/>
    <xf numFmtId="0" fontId="9" fillId="3" borderId="7" xfId="0" applyFont="1" applyFill="1" applyBorder="1"/>
    <xf numFmtId="2" fontId="3" fillId="3" borderId="7" xfId="1" applyNumberFormat="1" applyFont="1" applyFill="1" applyBorder="1"/>
    <xf numFmtId="0" fontId="1" fillId="3" borderId="8" xfId="0" applyFont="1" applyFill="1" applyBorder="1" applyAlignment="1">
      <alignment horizontal="center" vertical="center"/>
    </xf>
    <xf numFmtId="0" fontId="1" fillId="3" borderId="8" xfId="0" applyFont="1" applyFill="1" applyBorder="1"/>
    <xf numFmtId="0" fontId="2" fillId="3" borderId="8" xfId="0" applyFont="1" applyFill="1" applyBorder="1"/>
    <xf numFmtId="0" fontId="9" fillId="3" borderId="8" xfId="0" applyFont="1" applyFill="1" applyBorder="1"/>
    <xf numFmtId="0" fontId="1" fillId="3" borderId="10" xfId="0" applyFont="1" applyFill="1" applyBorder="1" applyAlignment="1">
      <alignment horizontal="center" vertical="center"/>
    </xf>
    <xf numFmtId="0" fontId="1" fillId="3" borderId="10" xfId="0" applyFont="1" applyFill="1" applyBorder="1"/>
    <xf numFmtId="0" fontId="2" fillId="3" borderId="10" xfId="0" applyFont="1" applyFill="1" applyBorder="1"/>
    <xf numFmtId="0" fontId="9" fillId="3" borderId="10" xfId="0" applyFont="1" applyFill="1" applyBorder="1"/>
    <xf numFmtId="0" fontId="1" fillId="4" borderId="7" xfId="0" applyFont="1" applyFill="1" applyBorder="1" applyAlignment="1">
      <alignment horizontal="center" vertical="center"/>
    </xf>
    <xf numFmtId="0" fontId="1" fillId="4" borderId="7" xfId="0" applyFont="1" applyFill="1" applyBorder="1"/>
    <xf numFmtId="0" fontId="2" fillId="4" borderId="7" xfId="0" applyFont="1" applyFill="1" applyBorder="1"/>
    <xf numFmtId="0" fontId="9" fillId="4" borderId="7" xfId="0" applyFont="1" applyFill="1" applyBorder="1"/>
    <xf numFmtId="0" fontId="1" fillId="4" borderId="8" xfId="0" applyFont="1" applyFill="1" applyBorder="1" applyAlignment="1">
      <alignment horizontal="center" vertical="center"/>
    </xf>
    <xf numFmtId="0" fontId="1" fillId="4" borderId="8" xfId="0" applyFont="1" applyFill="1" applyBorder="1"/>
    <xf numFmtId="0" fontId="2" fillId="4" borderId="8" xfId="0" applyFont="1" applyFill="1" applyBorder="1"/>
    <xf numFmtId="0" fontId="9" fillId="4" borderId="8" xfId="0" applyFont="1" applyFill="1" applyBorder="1"/>
    <xf numFmtId="0" fontId="1" fillId="4" borderId="20" xfId="0" applyFont="1" applyFill="1" applyBorder="1" applyAlignment="1">
      <alignment horizontal="center" vertical="center"/>
    </xf>
    <xf numFmtId="0" fontId="1" fillId="4" borderId="20" xfId="0" applyFont="1" applyFill="1" applyBorder="1"/>
    <xf numFmtId="0" fontId="2" fillId="4" borderId="20" xfId="0" applyFont="1" applyFill="1" applyBorder="1"/>
    <xf numFmtId="0" fontId="9" fillId="4" borderId="20" xfId="0" applyFont="1" applyFill="1" applyBorder="1"/>
    <xf numFmtId="0" fontId="1" fillId="4" borderId="9" xfId="0" applyFont="1" applyFill="1" applyBorder="1" applyAlignment="1">
      <alignment horizontal="center" vertical="center"/>
    </xf>
    <xf numFmtId="0" fontId="1" fillId="4" borderId="9" xfId="0" applyFont="1" applyFill="1" applyBorder="1"/>
    <xf numFmtId="0" fontId="2" fillId="4" borderId="9" xfId="0" applyFont="1" applyFill="1" applyBorder="1"/>
    <xf numFmtId="0" fontId="9" fillId="4" borderId="9" xfId="0" applyFont="1" applyFill="1" applyBorder="1"/>
    <xf numFmtId="0" fontId="1" fillId="4" borderId="10" xfId="0" applyFont="1" applyFill="1" applyBorder="1" applyAlignment="1">
      <alignment horizontal="center" vertical="center"/>
    </xf>
    <xf numFmtId="0" fontId="1" fillId="4" borderId="10" xfId="0" applyFont="1" applyFill="1" applyBorder="1"/>
    <xf numFmtId="0" fontId="2" fillId="4" borderId="10" xfId="0" applyFont="1" applyFill="1" applyBorder="1"/>
    <xf numFmtId="0" fontId="9" fillId="4" borderId="10" xfId="0" applyFont="1" applyFill="1" applyBorder="1"/>
    <xf numFmtId="0" fontId="2" fillId="3" borderId="21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2" fillId="4" borderId="24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2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5" borderId="29" xfId="0" applyFont="1" applyFill="1" applyBorder="1" applyAlignment="1">
      <alignment horizontal="center" vertical="center" wrapText="1"/>
    </xf>
    <xf numFmtId="0" fontId="2" fillId="5" borderId="29" xfId="0" applyFont="1" applyFill="1" applyBorder="1" applyAlignment="1">
      <alignment horizontal="center" vertical="center"/>
    </xf>
    <xf numFmtId="0" fontId="1" fillId="3" borderId="29" xfId="0" applyFont="1" applyFill="1" applyBorder="1"/>
    <xf numFmtId="0" fontId="2" fillId="3" borderId="29" xfId="0" applyFont="1" applyFill="1" applyBorder="1"/>
    <xf numFmtId="0" fontId="1" fillId="6" borderId="29" xfId="0" applyFont="1" applyFill="1" applyBorder="1"/>
    <xf numFmtId="0" fontId="2" fillId="6" borderId="29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0" fillId="0" borderId="12" xfId="0" applyBorder="1"/>
    <xf numFmtId="0" fontId="4" fillId="2" borderId="17" xfId="0" applyFont="1" applyFill="1" applyBorder="1" applyAlignment="1">
      <alignment horizontal="center" vertical="center"/>
    </xf>
    <xf numFmtId="0" fontId="0" fillId="0" borderId="13" xfId="0" applyBorder="1"/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9" fillId="0" borderId="0" xfId="0" applyFont="1"/>
    <xf numFmtId="0" fontId="4" fillId="2" borderId="18" xfId="0" applyFont="1" applyFill="1" applyBorder="1" applyAlignment="1">
      <alignment horizontal="center" vertical="center" wrapText="1"/>
    </xf>
    <xf numFmtId="0" fontId="0" fillId="0" borderId="19" xfId="0" applyBorder="1"/>
    <xf numFmtId="0" fontId="4" fillId="2" borderId="16" xfId="0" applyFont="1" applyFill="1" applyBorder="1" applyAlignment="1">
      <alignment horizontal="center" vertical="center"/>
    </xf>
    <xf numFmtId="0" fontId="0" fillId="0" borderId="14" xfId="0" applyBorder="1"/>
    <xf numFmtId="0" fontId="2" fillId="5" borderId="29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2" borderId="1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/>
    </xf>
    <xf numFmtId="0" fontId="0" fillId="0" borderId="4" xfId="0" applyBorder="1"/>
    <xf numFmtId="14" fontId="6" fillId="2" borderId="26" xfId="0" applyNumberFormat="1" applyFont="1" applyFill="1" applyBorder="1" applyAlignment="1">
      <alignment horizontal="center" vertical="center"/>
    </xf>
    <xf numFmtId="0" fontId="0" fillId="0" borderId="15" xfId="0" applyBorder="1"/>
    <xf numFmtId="0" fontId="0" fillId="0" borderId="28" xfId="0" applyBorder="1"/>
    <xf numFmtId="0" fontId="4" fillId="2" borderId="1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4"/>
  <sheetViews>
    <sheetView tabSelected="1" zoomScale="85" zoomScaleNormal="85" workbookViewId="0">
      <selection activeCell="V14" sqref="V14"/>
    </sheetView>
  </sheetViews>
  <sheetFormatPr defaultColWidth="12.1875" defaultRowHeight="17.25" x14ac:dyDescent="0.45"/>
  <cols>
    <col min="1" max="1" width="3.8125" style="59" bestFit="1" customWidth="1"/>
    <col min="2" max="2" width="5" style="59" bestFit="1" customWidth="1"/>
    <col min="3" max="3" width="6.3125" style="51" bestFit="1" customWidth="1"/>
    <col min="4" max="4" width="4.8125" style="51" bestFit="1" customWidth="1"/>
    <col min="5" max="5" width="6.3125" style="51" bestFit="1" customWidth="1"/>
    <col min="6" max="6" width="4.8125" style="59" bestFit="1" customWidth="1"/>
    <col min="7" max="7" width="4.8125" style="6" bestFit="1" customWidth="1"/>
    <col min="8" max="8" width="4.8125" style="60" bestFit="1" customWidth="1"/>
    <col min="9" max="9" width="6.3125" style="51" bestFit="1" customWidth="1"/>
    <col min="10" max="10" width="4.8125" style="60" bestFit="1" customWidth="1"/>
    <col min="11" max="11" width="6.3125" style="51" bestFit="1" customWidth="1"/>
    <col min="12" max="12" width="4.8125" style="51" bestFit="1" customWidth="1"/>
    <col min="13" max="13" width="6.3125" style="51" customWidth="1"/>
    <col min="14" max="14" width="5.125" style="51" bestFit="1" customWidth="1"/>
    <col min="15" max="15" width="10.1875" style="7" bestFit="1" customWidth="1"/>
    <col min="16" max="16" width="12.1875" style="51" customWidth="1"/>
    <col min="17" max="17" width="11.3125" customWidth="1"/>
    <col min="18" max="19" width="11.625" style="51" customWidth="1"/>
    <col min="20" max="16384" width="12.1875" style="51"/>
  </cols>
  <sheetData>
    <row r="1" spans="1:19" ht="12.75" customHeight="1" x14ac:dyDescent="0.45">
      <c r="A1" s="79" t="s">
        <v>0</v>
      </c>
      <c r="B1" s="80"/>
      <c r="C1" s="81"/>
      <c r="D1" s="81"/>
      <c r="E1" s="81"/>
      <c r="F1" s="80"/>
      <c r="G1" s="82"/>
    </row>
    <row r="2" spans="1:19" s="60" customFormat="1" ht="18.5" customHeight="1" x14ac:dyDescent="0.45">
      <c r="A2" s="89" t="s">
        <v>44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</row>
    <row r="3" spans="1:19" s="60" customFormat="1" ht="8.75" customHeight="1" thickBot="1" x14ac:dyDescent="0.5">
      <c r="A3" s="49"/>
      <c r="B3" s="49"/>
      <c r="C3" s="49"/>
      <c r="D3" s="49"/>
      <c r="E3" s="49"/>
      <c r="F3" s="52"/>
      <c r="I3" s="4"/>
      <c r="J3" s="49"/>
      <c r="K3" s="49"/>
      <c r="L3" s="49"/>
      <c r="M3" s="49"/>
      <c r="N3" s="49"/>
      <c r="O3" s="49"/>
      <c r="P3" s="49"/>
      <c r="Q3" s="49"/>
    </row>
    <row r="4" spans="1:19" s="59" customFormat="1" ht="20.75" customHeight="1" thickBot="1" x14ac:dyDescent="0.4">
      <c r="A4" s="77" t="s">
        <v>1</v>
      </c>
      <c r="B4" s="85" t="s">
        <v>2</v>
      </c>
      <c r="C4" s="97" t="s">
        <v>3</v>
      </c>
      <c r="D4" s="76"/>
      <c r="E4" s="92" t="s">
        <v>4</v>
      </c>
      <c r="F4" s="76"/>
      <c r="G4" s="76"/>
      <c r="H4" s="93"/>
      <c r="I4" s="75" t="s">
        <v>5</v>
      </c>
      <c r="J4" s="76"/>
      <c r="K4" s="92" t="s">
        <v>6</v>
      </c>
      <c r="L4" s="93"/>
      <c r="M4" s="75" t="s">
        <v>7</v>
      </c>
      <c r="N4" s="76"/>
      <c r="O4" s="83" t="s">
        <v>8</v>
      </c>
      <c r="P4" s="88" t="s">
        <v>9</v>
      </c>
      <c r="Q4" s="91" t="s">
        <v>10</v>
      </c>
      <c r="R4" s="87"/>
      <c r="S4" s="87"/>
    </row>
    <row r="5" spans="1:19" s="59" customFormat="1" ht="20.75" customHeight="1" thickTop="1" thickBot="1" x14ac:dyDescent="0.4">
      <c r="A5" s="78"/>
      <c r="B5" s="86"/>
      <c r="C5" s="94">
        <v>46311</v>
      </c>
      <c r="D5" s="95"/>
      <c r="E5" s="94">
        <v>46314</v>
      </c>
      <c r="F5" s="96"/>
      <c r="G5" s="96"/>
      <c r="H5" s="95"/>
      <c r="I5" s="94">
        <v>46315</v>
      </c>
      <c r="J5" s="95"/>
      <c r="K5" s="94">
        <v>46316</v>
      </c>
      <c r="L5" s="95"/>
      <c r="M5" s="94">
        <v>46317</v>
      </c>
      <c r="N5" s="95"/>
      <c r="O5" s="84"/>
      <c r="P5" s="78"/>
      <c r="Q5" s="86"/>
      <c r="R5" s="87"/>
      <c r="S5" s="87"/>
    </row>
    <row r="6" spans="1:19" s="59" customFormat="1" ht="20.75" customHeight="1" thickTop="1" thickBot="1" x14ac:dyDescent="0.4">
      <c r="A6" s="78"/>
      <c r="B6" s="86"/>
      <c r="C6" s="1" t="s">
        <v>11</v>
      </c>
      <c r="D6" s="50" t="s">
        <v>12</v>
      </c>
      <c r="E6" s="2" t="s">
        <v>11</v>
      </c>
      <c r="F6" s="53" t="s">
        <v>12</v>
      </c>
      <c r="G6" s="53" t="s">
        <v>12</v>
      </c>
      <c r="H6" s="53" t="s">
        <v>12</v>
      </c>
      <c r="I6" s="5" t="s">
        <v>11</v>
      </c>
      <c r="J6" s="50" t="s">
        <v>12</v>
      </c>
      <c r="K6" s="2" t="s">
        <v>11</v>
      </c>
      <c r="L6" s="53" t="s">
        <v>12</v>
      </c>
      <c r="M6" s="3" t="s">
        <v>11</v>
      </c>
      <c r="N6" s="50" t="s">
        <v>12</v>
      </c>
      <c r="O6" s="84"/>
      <c r="P6" s="78"/>
      <c r="Q6" s="86"/>
      <c r="R6" s="69"/>
      <c r="S6" s="70"/>
    </row>
    <row r="7" spans="1:19" ht="18.5" customHeight="1" thickBot="1" x14ac:dyDescent="0.5">
      <c r="A7" s="8">
        <v>1</v>
      </c>
      <c r="B7" s="8" t="s">
        <v>13</v>
      </c>
      <c r="C7" s="9"/>
      <c r="D7" s="61"/>
      <c r="E7" s="9"/>
      <c r="F7" s="54"/>
      <c r="G7" s="54"/>
      <c r="H7" s="54"/>
      <c r="I7" s="11"/>
      <c r="J7" s="61"/>
      <c r="K7" s="9"/>
      <c r="L7" s="61"/>
      <c r="M7" s="9"/>
      <c r="N7" s="61"/>
      <c r="O7" s="10">
        <f t="shared" ref="O7:O29" si="0">100+SUM(C7:N7)</f>
        <v>100</v>
      </c>
      <c r="P7" s="12">
        <f t="shared" ref="P7:P29" si="1">O7</f>
        <v>100</v>
      </c>
      <c r="Q7" s="41" t="str">
        <f t="shared" ref="Q7:Q29" si="2">IF(P7&gt;=100,"A",IF(P7&gt;=95,"B",IF(P7&gt;=80,"C","D")))</f>
        <v>A</v>
      </c>
      <c r="R7" s="71"/>
      <c r="S7" s="72"/>
    </row>
    <row r="8" spans="1:19" ht="18.5" customHeight="1" thickBot="1" x14ac:dyDescent="0.5">
      <c r="A8" s="13">
        <v>2</v>
      </c>
      <c r="B8" s="13" t="s">
        <v>14</v>
      </c>
      <c r="C8" s="14"/>
      <c r="D8" s="62"/>
      <c r="E8" s="14"/>
      <c r="F8" s="55"/>
      <c r="G8" s="55"/>
      <c r="H8" s="55"/>
      <c r="I8" s="16"/>
      <c r="J8" s="62"/>
      <c r="K8" s="14"/>
      <c r="L8" s="62"/>
      <c r="M8" s="14"/>
      <c r="N8" s="62"/>
      <c r="O8" s="15">
        <f t="shared" si="0"/>
        <v>100</v>
      </c>
      <c r="P8" s="12">
        <f t="shared" si="1"/>
        <v>100</v>
      </c>
      <c r="Q8" s="42" t="str">
        <f t="shared" si="2"/>
        <v>A</v>
      </c>
      <c r="R8" s="71"/>
      <c r="S8" s="72"/>
    </row>
    <row r="9" spans="1:19" ht="18.5" customHeight="1" thickBot="1" x14ac:dyDescent="0.5">
      <c r="A9" s="13">
        <v>3</v>
      </c>
      <c r="B9" s="13" t="s">
        <v>15</v>
      </c>
      <c r="C9" s="14"/>
      <c r="D9" s="62"/>
      <c r="E9" s="14"/>
      <c r="F9" s="55"/>
      <c r="G9" s="55"/>
      <c r="H9" s="55"/>
      <c r="I9" s="16"/>
      <c r="J9" s="62"/>
      <c r="K9" s="14"/>
      <c r="L9" s="62"/>
      <c r="M9" s="14"/>
      <c r="N9" s="62"/>
      <c r="O9" s="15">
        <f t="shared" si="0"/>
        <v>100</v>
      </c>
      <c r="P9" s="12">
        <f t="shared" si="1"/>
        <v>100</v>
      </c>
      <c r="Q9" s="42" t="str">
        <f t="shared" si="2"/>
        <v>A</v>
      </c>
      <c r="R9" s="71"/>
      <c r="S9" s="72"/>
    </row>
    <row r="10" spans="1:19" ht="18.5" customHeight="1" thickBot="1" x14ac:dyDescent="0.5">
      <c r="A10" s="17">
        <v>4</v>
      </c>
      <c r="B10" s="17" t="s">
        <v>16</v>
      </c>
      <c r="C10" s="18"/>
      <c r="D10" s="63"/>
      <c r="E10" s="18"/>
      <c r="F10" s="56"/>
      <c r="G10" s="56"/>
      <c r="H10" s="56"/>
      <c r="I10" s="20"/>
      <c r="J10" s="63"/>
      <c r="K10" s="18"/>
      <c r="L10" s="63"/>
      <c r="M10" s="18"/>
      <c r="N10" s="63"/>
      <c r="O10" s="19">
        <f t="shared" si="0"/>
        <v>100</v>
      </c>
      <c r="P10" s="12">
        <f t="shared" si="1"/>
        <v>100</v>
      </c>
      <c r="Q10" s="43" t="str">
        <f t="shared" si="2"/>
        <v>A</v>
      </c>
      <c r="R10" s="71"/>
      <c r="S10" s="72"/>
    </row>
    <row r="11" spans="1:19" ht="18.5" customHeight="1" thickBot="1" x14ac:dyDescent="0.5">
      <c r="A11" s="21">
        <v>1</v>
      </c>
      <c r="B11" s="21" t="s">
        <v>17</v>
      </c>
      <c r="C11" s="22"/>
      <c r="D11" s="61"/>
      <c r="E11" s="22"/>
      <c r="F11" s="54"/>
      <c r="G11" s="54"/>
      <c r="H11" s="54"/>
      <c r="I11" s="24"/>
      <c r="J11" s="61"/>
      <c r="K11" s="22"/>
      <c r="L11" s="61"/>
      <c r="M11" s="22"/>
      <c r="N11" s="61"/>
      <c r="O11" s="23">
        <f t="shared" si="0"/>
        <v>100</v>
      </c>
      <c r="P11" s="12">
        <f t="shared" si="1"/>
        <v>100</v>
      </c>
      <c r="Q11" s="44" t="str">
        <f t="shared" si="2"/>
        <v>A</v>
      </c>
      <c r="R11" s="73"/>
      <c r="S11" s="74"/>
    </row>
    <row r="12" spans="1:19" ht="18.5" customHeight="1" thickBot="1" x14ac:dyDescent="0.5">
      <c r="A12" s="25">
        <v>2</v>
      </c>
      <c r="B12" s="25" t="s">
        <v>18</v>
      </c>
      <c r="C12" s="26"/>
      <c r="D12" s="62"/>
      <c r="E12" s="26"/>
      <c r="F12" s="55"/>
      <c r="G12" s="55"/>
      <c r="H12" s="55"/>
      <c r="I12" s="28"/>
      <c r="J12" s="62"/>
      <c r="K12" s="26"/>
      <c r="L12" s="62"/>
      <c r="M12" s="26"/>
      <c r="N12" s="62"/>
      <c r="O12" s="27">
        <f t="shared" si="0"/>
        <v>100</v>
      </c>
      <c r="P12" s="12">
        <f t="shared" si="1"/>
        <v>100</v>
      </c>
      <c r="Q12" s="45" t="str">
        <f t="shared" si="2"/>
        <v>A</v>
      </c>
      <c r="R12" s="73"/>
      <c r="S12" s="74"/>
    </row>
    <row r="13" spans="1:19" ht="18.5" customHeight="1" thickBot="1" x14ac:dyDescent="0.5">
      <c r="A13" s="25">
        <v>3</v>
      </c>
      <c r="B13" s="25" t="s">
        <v>19</v>
      </c>
      <c r="C13" s="26"/>
      <c r="D13" s="62"/>
      <c r="E13" s="26"/>
      <c r="F13" s="55"/>
      <c r="G13" s="55"/>
      <c r="H13" s="55"/>
      <c r="I13" s="28"/>
      <c r="J13" s="62"/>
      <c r="K13" s="26"/>
      <c r="L13" s="62"/>
      <c r="M13" s="26"/>
      <c r="N13" s="62"/>
      <c r="O13" s="27">
        <f t="shared" si="0"/>
        <v>100</v>
      </c>
      <c r="P13" s="12">
        <f t="shared" si="1"/>
        <v>100</v>
      </c>
      <c r="Q13" s="45" t="str">
        <f t="shared" si="2"/>
        <v>A</v>
      </c>
      <c r="R13" s="73"/>
      <c r="S13" s="74"/>
    </row>
    <row r="14" spans="1:19" ht="18.5" customHeight="1" thickBot="1" x14ac:dyDescent="0.5">
      <c r="A14" s="25">
        <v>4</v>
      </c>
      <c r="B14" s="25" t="s">
        <v>20</v>
      </c>
      <c r="C14" s="26"/>
      <c r="D14" s="62"/>
      <c r="E14" s="26"/>
      <c r="F14" s="55"/>
      <c r="G14" s="55"/>
      <c r="H14" s="55"/>
      <c r="I14" s="28"/>
      <c r="J14" s="62"/>
      <c r="K14" s="26"/>
      <c r="L14" s="62"/>
      <c r="M14" s="26"/>
      <c r="N14" s="62"/>
      <c r="O14" s="27">
        <f t="shared" si="0"/>
        <v>100</v>
      </c>
      <c r="P14" s="12">
        <f t="shared" si="1"/>
        <v>100</v>
      </c>
      <c r="Q14" s="45" t="str">
        <f t="shared" si="2"/>
        <v>A</v>
      </c>
      <c r="R14" s="73"/>
      <c r="S14" s="74"/>
    </row>
    <row r="15" spans="1:19" ht="18.5" customHeight="1" thickBot="1" x14ac:dyDescent="0.5">
      <c r="A15" s="29">
        <v>5</v>
      </c>
      <c r="B15" s="29" t="s">
        <v>21</v>
      </c>
      <c r="C15" s="30"/>
      <c r="D15" s="64"/>
      <c r="E15" s="30"/>
      <c r="F15" s="57"/>
      <c r="G15" s="57"/>
      <c r="H15" s="57"/>
      <c r="I15" s="32"/>
      <c r="J15" s="64"/>
      <c r="K15" s="30"/>
      <c r="L15" s="64"/>
      <c r="M15" s="30"/>
      <c r="N15" s="64"/>
      <c r="O15" s="31">
        <f t="shared" si="0"/>
        <v>100</v>
      </c>
      <c r="P15" s="12">
        <f t="shared" si="1"/>
        <v>100</v>
      </c>
      <c r="Q15" s="46" t="str">
        <f t="shared" si="2"/>
        <v>A</v>
      </c>
      <c r="R15" s="73"/>
      <c r="S15" s="74"/>
    </row>
    <row r="16" spans="1:19" ht="18.5" customHeight="1" thickBot="1" x14ac:dyDescent="0.5">
      <c r="A16" s="33">
        <v>6</v>
      </c>
      <c r="B16" s="33" t="s">
        <v>22</v>
      </c>
      <c r="C16" s="34"/>
      <c r="D16" s="65"/>
      <c r="E16" s="34"/>
      <c r="F16" s="58"/>
      <c r="G16" s="58"/>
      <c r="H16" s="58"/>
      <c r="I16" s="36"/>
      <c r="J16" s="65"/>
      <c r="K16" s="34"/>
      <c r="L16" s="65"/>
      <c r="M16" s="34"/>
      <c r="N16" s="65"/>
      <c r="O16" s="35">
        <f t="shared" si="0"/>
        <v>100</v>
      </c>
      <c r="P16" s="12">
        <f t="shared" si="1"/>
        <v>100</v>
      </c>
      <c r="Q16" s="47" t="str">
        <f t="shared" si="2"/>
        <v>A</v>
      </c>
      <c r="R16" s="73"/>
      <c r="S16" s="74"/>
    </row>
    <row r="17" spans="1:19" ht="18.5" customHeight="1" thickBot="1" x14ac:dyDescent="0.5">
      <c r="A17" s="25">
        <v>7</v>
      </c>
      <c r="B17" s="25" t="s">
        <v>23</v>
      </c>
      <c r="C17" s="26"/>
      <c r="D17" s="62"/>
      <c r="E17" s="26"/>
      <c r="F17" s="55"/>
      <c r="G17" s="55"/>
      <c r="H17" s="55"/>
      <c r="I17" s="28"/>
      <c r="J17" s="62"/>
      <c r="K17" s="26"/>
      <c r="L17" s="62"/>
      <c r="M17" s="26"/>
      <c r="N17" s="62"/>
      <c r="O17" s="27">
        <f t="shared" si="0"/>
        <v>100</v>
      </c>
      <c r="P17" s="12">
        <f t="shared" si="1"/>
        <v>100</v>
      </c>
      <c r="Q17" s="45" t="str">
        <f t="shared" si="2"/>
        <v>A</v>
      </c>
      <c r="R17" s="73"/>
      <c r="S17" s="74"/>
    </row>
    <row r="18" spans="1:19" ht="18.5" customHeight="1" thickBot="1" x14ac:dyDescent="0.5">
      <c r="A18" s="25">
        <v>8</v>
      </c>
      <c r="B18" s="25" t="s">
        <v>24</v>
      </c>
      <c r="C18" s="26"/>
      <c r="D18" s="62"/>
      <c r="E18" s="26"/>
      <c r="F18" s="55"/>
      <c r="G18" s="55"/>
      <c r="H18" s="55"/>
      <c r="I18" s="28"/>
      <c r="J18" s="62"/>
      <c r="K18" s="26"/>
      <c r="L18" s="62"/>
      <c r="M18" s="26"/>
      <c r="N18" s="62"/>
      <c r="O18" s="27">
        <f t="shared" si="0"/>
        <v>100</v>
      </c>
      <c r="P18" s="12">
        <f t="shared" si="1"/>
        <v>100</v>
      </c>
      <c r="Q18" s="45" t="str">
        <f t="shared" si="2"/>
        <v>A</v>
      </c>
      <c r="R18" s="73"/>
      <c r="S18" s="74"/>
    </row>
    <row r="19" spans="1:19" ht="18.5" customHeight="1" thickBot="1" x14ac:dyDescent="0.5">
      <c r="A19" s="37">
        <v>9</v>
      </c>
      <c r="B19" s="37" t="s">
        <v>25</v>
      </c>
      <c r="C19" s="38"/>
      <c r="D19" s="63"/>
      <c r="E19" s="38"/>
      <c r="F19" s="56"/>
      <c r="G19" s="56"/>
      <c r="H19" s="56"/>
      <c r="I19" s="40"/>
      <c r="J19" s="63"/>
      <c r="K19" s="38"/>
      <c r="L19" s="63"/>
      <c r="M19" s="38"/>
      <c r="N19" s="63"/>
      <c r="O19" s="39">
        <f t="shared" si="0"/>
        <v>100</v>
      </c>
      <c r="P19" s="12">
        <f t="shared" si="1"/>
        <v>100</v>
      </c>
      <c r="Q19" s="48" t="str">
        <f t="shared" si="2"/>
        <v>A</v>
      </c>
      <c r="R19" s="73"/>
      <c r="S19" s="74"/>
    </row>
    <row r="20" spans="1:19" ht="18.5" customHeight="1" thickBot="1" x14ac:dyDescent="0.5">
      <c r="A20" s="21">
        <v>10</v>
      </c>
      <c r="B20" s="21" t="s">
        <v>26</v>
      </c>
      <c r="C20" s="22"/>
      <c r="D20" s="61"/>
      <c r="E20" s="22"/>
      <c r="F20" s="61"/>
      <c r="G20" s="61"/>
      <c r="H20" s="61"/>
      <c r="I20" s="24"/>
      <c r="J20" s="61"/>
      <c r="K20" s="22"/>
      <c r="L20" s="61"/>
      <c r="M20" s="22"/>
      <c r="N20" s="61"/>
      <c r="O20" s="23">
        <f t="shared" si="0"/>
        <v>100</v>
      </c>
      <c r="P20" s="12">
        <f t="shared" si="1"/>
        <v>100</v>
      </c>
      <c r="Q20" s="44" t="str">
        <f t="shared" si="2"/>
        <v>A</v>
      </c>
      <c r="R20" s="73"/>
      <c r="S20" s="74"/>
    </row>
    <row r="21" spans="1:19" ht="18.5" customHeight="1" thickBot="1" x14ac:dyDescent="0.5">
      <c r="A21" s="25">
        <v>11</v>
      </c>
      <c r="B21" s="25" t="s">
        <v>27</v>
      </c>
      <c r="C21" s="26"/>
      <c r="D21" s="62"/>
      <c r="E21" s="26"/>
      <c r="F21" s="62"/>
      <c r="G21" s="62"/>
      <c r="H21" s="62"/>
      <c r="I21" s="28"/>
      <c r="J21" s="62"/>
      <c r="K21" s="26"/>
      <c r="L21" s="62"/>
      <c r="M21" s="26"/>
      <c r="N21" s="62"/>
      <c r="O21" s="27">
        <f t="shared" si="0"/>
        <v>100</v>
      </c>
      <c r="P21" s="12">
        <f t="shared" si="1"/>
        <v>100</v>
      </c>
      <c r="Q21" s="45" t="str">
        <f t="shared" si="2"/>
        <v>A</v>
      </c>
      <c r="R21" s="73"/>
      <c r="S21" s="74"/>
    </row>
    <row r="22" spans="1:19" ht="18.5" customHeight="1" thickBot="1" x14ac:dyDescent="0.5">
      <c r="A22" s="25">
        <v>12</v>
      </c>
      <c r="B22" s="25" t="s">
        <v>28</v>
      </c>
      <c r="C22" s="26"/>
      <c r="D22" s="62"/>
      <c r="E22" s="26"/>
      <c r="F22" s="55"/>
      <c r="G22" s="55"/>
      <c r="H22" s="55"/>
      <c r="I22" s="28"/>
      <c r="J22" s="62"/>
      <c r="K22" s="26"/>
      <c r="L22" s="62"/>
      <c r="M22" s="26"/>
      <c r="N22" s="62"/>
      <c r="O22" s="27">
        <f t="shared" si="0"/>
        <v>100</v>
      </c>
      <c r="P22" s="12">
        <f t="shared" si="1"/>
        <v>100</v>
      </c>
      <c r="Q22" s="45" t="str">
        <f t="shared" si="2"/>
        <v>A</v>
      </c>
      <c r="R22" s="73"/>
      <c r="S22" s="74"/>
    </row>
    <row r="23" spans="1:19" ht="18.5" customHeight="1" thickBot="1" x14ac:dyDescent="0.5">
      <c r="A23" s="25">
        <v>13</v>
      </c>
      <c r="B23" s="25" t="s">
        <v>29</v>
      </c>
      <c r="C23" s="26"/>
      <c r="D23" s="62"/>
      <c r="E23" s="26"/>
      <c r="F23" s="62"/>
      <c r="G23" s="62"/>
      <c r="H23" s="62"/>
      <c r="I23" s="28"/>
      <c r="J23" s="62"/>
      <c r="K23" s="26"/>
      <c r="L23" s="62"/>
      <c r="M23" s="26"/>
      <c r="N23" s="62"/>
      <c r="O23" s="27">
        <f t="shared" si="0"/>
        <v>100</v>
      </c>
      <c r="P23" s="12">
        <f t="shared" si="1"/>
        <v>100</v>
      </c>
      <c r="Q23" s="45" t="str">
        <f t="shared" si="2"/>
        <v>A</v>
      </c>
      <c r="R23" s="73"/>
      <c r="S23" s="74"/>
    </row>
    <row r="24" spans="1:19" ht="18.5" customHeight="1" thickBot="1" x14ac:dyDescent="0.5">
      <c r="A24" s="29">
        <v>14</v>
      </c>
      <c r="B24" s="29" t="s">
        <v>30</v>
      </c>
      <c r="C24" s="30"/>
      <c r="D24" s="64"/>
      <c r="E24" s="30"/>
      <c r="F24" s="64"/>
      <c r="G24" s="64"/>
      <c r="H24" s="64"/>
      <c r="I24" s="32"/>
      <c r="J24" s="64"/>
      <c r="K24" s="30"/>
      <c r="L24" s="64"/>
      <c r="M24" s="31"/>
      <c r="N24" s="64"/>
      <c r="O24" s="31">
        <f t="shared" si="0"/>
        <v>100</v>
      </c>
      <c r="P24" s="12">
        <f t="shared" si="1"/>
        <v>100</v>
      </c>
      <c r="Q24" s="46" t="str">
        <f t="shared" si="2"/>
        <v>A</v>
      </c>
      <c r="R24" s="73"/>
      <c r="S24" s="74"/>
    </row>
    <row r="25" spans="1:19" ht="18.5" customHeight="1" thickBot="1" x14ac:dyDescent="0.5">
      <c r="A25" s="33">
        <v>15</v>
      </c>
      <c r="B25" s="33" t="s">
        <v>31</v>
      </c>
      <c r="C25" s="34"/>
      <c r="D25" s="65"/>
      <c r="E25" s="34"/>
      <c r="F25" s="65"/>
      <c r="G25" s="65"/>
      <c r="H25" s="65"/>
      <c r="I25" s="35"/>
      <c r="J25" s="65"/>
      <c r="K25" s="35"/>
      <c r="L25" s="65"/>
      <c r="M25" s="34"/>
      <c r="N25" s="65"/>
      <c r="O25" s="35">
        <f t="shared" si="0"/>
        <v>100</v>
      </c>
      <c r="P25" s="12">
        <f t="shared" si="1"/>
        <v>100</v>
      </c>
      <c r="Q25" s="47" t="str">
        <f t="shared" si="2"/>
        <v>A</v>
      </c>
      <c r="R25" s="73"/>
      <c r="S25" s="74"/>
    </row>
    <row r="26" spans="1:19" ht="18.5" customHeight="1" thickBot="1" x14ac:dyDescent="0.5">
      <c r="A26" s="25">
        <v>16</v>
      </c>
      <c r="B26" s="25" t="s">
        <v>32</v>
      </c>
      <c r="C26" s="26"/>
      <c r="D26" s="62"/>
      <c r="E26" s="26"/>
      <c r="F26" s="55"/>
      <c r="G26" s="55"/>
      <c r="H26" s="55"/>
      <c r="I26" s="28"/>
      <c r="J26" s="62"/>
      <c r="K26" s="26"/>
      <c r="L26" s="62"/>
      <c r="M26" s="26"/>
      <c r="N26" s="62"/>
      <c r="O26" s="27">
        <f t="shared" si="0"/>
        <v>100</v>
      </c>
      <c r="P26" s="12">
        <f t="shared" si="1"/>
        <v>100</v>
      </c>
      <c r="Q26" s="45" t="str">
        <f t="shared" si="2"/>
        <v>A</v>
      </c>
      <c r="R26" s="73"/>
      <c r="S26" s="74"/>
    </row>
    <row r="27" spans="1:19" ht="18.5" customHeight="1" thickBot="1" x14ac:dyDescent="0.5">
      <c r="A27" s="25">
        <v>17</v>
      </c>
      <c r="B27" s="25" t="s">
        <v>33</v>
      </c>
      <c r="C27" s="26"/>
      <c r="D27" s="62"/>
      <c r="E27" s="26"/>
      <c r="F27" s="55"/>
      <c r="G27" s="55"/>
      <c r="H27" s="55"/>
      <c r="I27" s="28"/>
      <c r="J27" s="62"/>
      <c r="K27" s="26"/>
      <c r="L27" s="62"/>
      <c r="M27" s="26"/>
      <c r="N27" s="62"/>
      <c r="O27" s="27">
        <f t="shared" si="0"/>
        <v>100</v>
      </c>
      <c r="P27" s="12">
        <f t="shared" si="1"/>
        <v>100</v>
      </c>
      <c r="Q27" s="45" t="str">
        <f t="shared" si="2"/>
        <v>A</v>
      </c>
      <c r="R27" s="73"/>
      <c r="S27" s="74"/>
    </row>
    <row r="28" spans="1:19" ht="18.5" customHeight="1" thickBot="1" x14ac:dyDescent="0.5">
      <c r="A28" s="25">
        <v>18</v>
      </c>
      <c r="B28" s="25" t="s">
        <v>34</v>
      </c>
      <c r="C28" s="26"/>
      <c r="D28" s="62"/>
      <c r="E28" s="26"/>
      <c r="F28" s="55"/>
      <c r="G28" s="55"/>
      <c r="H28" s="55"/>
      <c r="I28" s="28"/>
      <c r="J28" s="62"/>
      <c r="K28" s="26"/>
      <c r="L28" s="62"/>
      <c r="M28" s="26"/>
      <c r="N28" s="62"/>
      <c r="O28" s="27">
        <f t="shared" si="0"/>
        <v>100</v>
      </c>
      <c r="P28" s="12">
        <f t="shared" si="1"/>
        <v>100</v>
      </c>
      <c r="Q28" s="45" t="str">
        <f t="shared" si="2"/>
        <v>A</v>
      </c>
      <c r="R28" s="73"/>
      <c r="S28" s="74"/>
    </row>
    <row r="29" spans="1:19" ht="18.5" customHeight="1" thickBot="1" x14ac:dyDescent="0.5">
      <c r="A29" s="29">
        <v>19</v>
      </c>
      <c r="B29" s="29" t="s">
        <v>35</v>
      </c>
      <c r="C29" s="30"/>
      <c r="D29" s="64"/>
      <c r="E29" s="30"/>
      <c r="F29" s="64"/>
      <c r="G29" s="64"/>
      <c r="H29" s="64"/>
      <c r="I29" s="32"/>
      <c r="J29" s="64"/>
      <c r="K29" s="30"/>
      <c r="L29" s="64"/>
      <c r="M29" s="30"/>
      <c r="N29" s="64"/>
      <c r="O29" s="31">
        <f t="shared" si="0"/>
        <v>100</v>
      </c>
      <c r="P29" s="12">
        <f t="shared" si="1"/>
        <v>100</v>
      </c>
      <c r="Q29" s="46" t="str">
        <f t="shared" si="2"/>
        <v>A</v>
      </c>
      <c r="R29" s="73"/>
      <c r="S29" s="74"/>
    </row>
    <row r="31" spans="1:19" x14ac:dyDescent="0.45">
      <c r="O31" s="51" t="s">
        <v>36</v>
      </c>
      <c r="P31" s="7">
        <f>COUNTIF($Q$7:$Q$29, "A")</f>
        <v>23</v>
      </c>
      <c r="Q31" s="68" t="str">
        <f>P31/23%&amp;"%"</f>
        <v>100%</v>
      </c>
    </row>
    <row r="32" spans="1:19" x14ac:dyDescent="0.45">
      <c r="O32" s="51" t="s">
        <v>37</v>
      </c>
      <c r="P32" s="7">
        <f>COUNTIF($Q$7:$Q$29, "B")</f>
        <v>0</v>
      </c>
      <c r="Q32" s="67" t="str">
        <f t="shared" ref="Q32:Q34" si="3">P32/23%&amp;"%"</f>
        <v>0%</v>
      </c>
    </row>
    <row r="33" spans="15:17" x14ac:dyDescent="0.45">
      <c r="O33" s="51" t="s">
        <v>38</v>
      </c>
      <c r="P33" s="7">
        <f>COUNTIF($Q$7:$Q$29, "C")</f>
        <v>0</v>
      </c>
      <c r="Q33" s="67" t="str">
        <f t="shared" si="3"/>
        <v>0%</v>
      </c>
    </row>
    <row r="34" spans="15:17" x14ac:dyDescent="0.45">
      <c r="O34" s="51" t="s">
        <v>39</v>
      </c>
      <c r="P34" s="7">
        <f>COUNTIF($Q$7:$Q$29, "D")</f>
        <v>0</v>
      </c>
      <c r="Q34" s="67" t="str">
        <f t="shared" si="3"/>
        <v>0%</v>
      </c>
    </row>
  </sheetData>
  <mergeCells count="18">
    <mergeCell ref="R4:S5"/>
    <mergeCell ref="P4:P6"/>
    <mergeCell ref="A2:Q2"/>
    <mergeCell ref="Q4:Q6"/>
    <mergeCell ref="E4:H4"/>
    <mergeCell ref="C5:D5"/>
    <mergeCell ref="K5:L5"/>
    <mergeCell ref="I5:J5"/>
    <mergeCell ref="M5:N5"/>
    <mergeCell ref="K4:L4"/>
    <mergeCell ref="M4:N4"/>
    <mergeCell ref="E5:H5"/>
    <mergeCell ref="C4:D4"/>
    <mergeCell ref="I4:J4"/>
    <mergeCell ref="A4:A6"/>
    <mergeCell ref="A1:G1"/>
    <mergeCell ref="O4:O6"/>
    <mergeCell ref="B4:B6"/>
  </mergeCells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topLeftCell="A34" workbookViewId="0">
      <selection activeCell="D2" sqref="D2"/>
    </sheetView>
  </sheetViews>
  <sheetFormatPr defaultRowHeight="13.5" x14ac:dyDescent="0.35"/>
  <cols>
    <col min="1" max="1" width="8" customWidth="1"/>
    <col min="2" max="2" width="14" customWidth="1"/>
    <col min="3" max="3" width="8" customWidth="1"/>
    <col min="4" max="4" width="16" customWidth="1"/>
    <col min="5" max="5" width="8" customWidth="1"/>
  </cols>
  <sheetData>
    <row r="1" spans="1:5" ht="13.9" x14ac:dyDescent="0.4">
      <c r="A1" s="66" t="s">
        <v>2</v>
      </c>
      <c r="B1" s="66" t="s">
        <v>40</v>
      </c>
      <c r="C1" s="66" t="s">
        <v>41</v>
      </c>
      <c r="D1" s="66" t="s">
        <v>42</v>
      </c>
      <c r="E1" s="66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T7</vt:lpstr>
      <vt:lpstr>Chi tiết ảnh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Van Vuong</dc:creator>
  <cp:lastModifiedBy>Xuân Vượng Mai</cp:lastModifiedBy>
  <dcterms:created xsi:type="dcterms:W3CDTF">2026-06-06T08:46:37Z</dcterms:created>
  <dcterms:modified xsi:type="dcterms:W3CDTF">2026-10-29T14:48:41Z</dcterms:modified>
</cp:coreProperties>
</file>